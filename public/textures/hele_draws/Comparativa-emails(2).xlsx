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workbookProtection/>
  <bookViews>
    <workbookView xWindow="360" yWindow="15" windowWidth="20955" windowHeight="9720" activeTab="0"/>
  </bookViews>
  <sheets>
    <sheet name="Sheet1" sheetId="1" state="visible" r:id="rId2"/>
  </sheets>
  <calcPr refMode="A1" iterate="0" iterateCount="100" iterateDelta="0.000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tc={002B0012-001D-4BE7-BC7D-0071005D0092}</author>
  </authors>
  <commentList>
    <comment ref="C4" authorId="0" xr:uid="{002B0012-001D-4BE7-BC7D-0071005D0092}">
      <text>
        <r>
          <rPr>
            <b/>
            <sz val="9"/>
            <rFont val="Tahoma"/>
          </rPr>
          <t xml:space="preserve"> :</t>
        </r>
        <r>
          <rPr>
            <sz val="9"/>
            <rFont val="Tahoma"/>
          </rPr>
          <t xml:space="preserve">
Jorge Toledo:
https://www.fastmail.com/contributing-to-open-source-technology/
</t>
        </r>
      </text>
    </comment>
  </commentList>
</comments>
</file>

<file path=xl/sharedStrings.xml><?xml version="1.0" encoding="utf-8"?>
<sst xmlns="http://schemas.openxmlformats.org/spreadsheetml/2006/main" count="68" uniqueCount="68">
  <si>
    <t>Proveedores</t>
  </si>
  <si>
    <t xml:space="preserve">Open Source</t>
  </si>
  <si>
    <t xml:space="preserve">Etiquetas (en webmail)</t>
  </si>
  <si>
    <t xml:space="preserve">Etiquetas (en IMAP/Client)</t>
  </si>
  <si>
    <t xml:space="preserve">Hilos (en webmail)</t>
  </si>
  <si>
    <t xml:space="preserve">Sincr. contactos con NC</t>
  </si>
  <si>
    <t xml:space="preserve">Dominio propio</t>
  </si>
  <si>
    <t xml:space="preserve">App Android</t>
  </si>
  <si>
    <t xml:space="preserve">Coste por Gb</t>
  </si>
  <si>
    <t>Gandi</t>
  </si>
  <si>
    <t>Sí</t>
  </si>
  <si>
    <t xml:space="preserve">Más bien no</t>
  </si>
  <si>
    <t>Problemáticas</t>
  </si>
  <si>
    <t>No</t>
  </si>
  <si>
    <t xml:space="preserve">Solamente indirecto a través de dispositivos</t>
  </si>
  <si>
    <t xml:space="preserve">De terceros</t>
  </si>
  <si>
    <t xml:space="preserve">- El webmail permite añadir etiquetas, pero no navegarlas o buscar por ellas
- Algunos clientes no reconocen las etiquetas, y aparecen carpetas duplicadas</t>
  </si>
  <si>
    <t>Fastmail</t>
  </si>
  <si>
    <t xml:space="preserve">Contribuyen a</t>
  </si>
  <si>
    <t xml:space="preserve">Sí, como carpetas</t>
  </si>
  <si>
    <t xml:space="preserve">Indirecto, con VdirSyncer</t>
  </si>
  <si>
    <t xml:space="preserve">+ Las etiquetas son jerárquicas como las carpetas, se les puede asignar color, etc. Es como Gmail.
+ Puede ser aún más barato (0,075 €/GB para 100 GB), aunque la cuota mensual resultante es alta
+ Características adicionales interesantes como deshacer envío, envío programado, búsquedas guardadas, etc.
+ Permite configurarlo con cualquier cliente de escritorio, y parece funcionar muy bien incluso con las etiquetas.
+ Las etiquetas funcionan en el webmail y en la app móvil
+ Permite sincronizar contactos y calendarios con Nexcloud via vdirsyncer
+ Permite compartir un dominio propio con usuarios básicos, y crear correos compartidos como departamento@ que envían correo a ciertas personas
- No permite aplicar un branding propio en plan white label</t>
  </si>
  <si>
    <t>Mailbox.org</t>
  </si>
  <si>
    <t xml:space="preserve">No reconocidas</t>
  </si>
  <si>
    <t xml:space="preserve">Para algunos servidores</t>
  </si>
  <si>
    <t>Skiff</t>
  </si>
  <si>
    <t xml:space="preserve">No soporta otros clientes</t>
  </si>
  <si>
    <t xml:space="preserve">Sí, solo 1</t>
  </si>
  <si>
    <t xml:space="preserve">+ Las etiquetas funcionan en el webmail y en la app móvil
+ Puede ser aún más barato (0,04 €/GB para 200 GB), aunque la cuota mensual resultante es alta, 8 €
+ Características adicionales interesantes como cancelar envío, envío programado, direcciones desechables, etc.
- La gestión de contactos es bastante simple
- De momento no soporta clientes de escritorio externos
- Interfaz solamente en inglés</t>
  </si>
  <si>
    <t>ProtonMail</t>
  </si>
  <si>
    <t>Parcialmente</t>
  </si>
  <si>
    <t xml:space="preserve">+ Etiquetas no jerárquicas, que se pueden usar además de las carpetas.
+ Buena privacidad.
+ Las apps son open source o están en proceso de serlo. El servidor, en cambio, es cerrado, como casi todos los proveedores.
- No sincroniza contactos y calendarios con prácticamente nada, es un ecosistema muy cerrado.
- Para configurar clientes de escritorio hay que instalar un bridge</t>
  </si>
  <si>
    <t>Tutanota</t>
  </si>
  <si>
    <t xml:space="preserve">Solamente indirecto</t>
  </si>
  <si>
    <t xml:space="preserve">+ Se puede  cambiar el logo del webmail e incluso configurar la página de login a un subdominio propio
- Los hilos no parecen funcionar</t>
  </si>
  <si>
    <t>Posteo</t>
  </si>
  <si>
    <t>Mailfence</t>
  </si>
  <si>
    <t>?</t>
  </si>
  <si>
    <t xml:space="preserve">Zoho Mail</t>
  </si>
  <si>
    <t xml:space="preserve">Solamente indirecto?</t>
  </si>
  <si>
    <t xml:space="preserve">+ Puede ser aún más barato (0,08 €/GB para 50 GB)
- Nada open source, aunque publican algunas cosas en github</t>
  </si>
  <si>
    <t>Infomaniak</t>
  </si>
  <si>
    <t xml:space="preserve">A través de la app móvil</t>
  </si>
  <si>
    <t xml:space="preserve">Sí, obligatorio</t>
  </si>
  <si>
    <t xml:space="preserve">Sí, varias</t>
  </si>
  <si>
    <t xml:space="preserve">+ Un buzón ilimitado con el dominio
+ Suite bastante completa de herramientas con sus correspondientes apps móviles
- Precios poco claros, no he logrado ver una tabla
- Requiere un dominio sí o sí
- No tiene etiquetas</t>
  </si>
  <si>
    <t>Startmail</t>
  </si>
  <si>
    <t xml:space="preserve">Por revisar</t>
  </si>
  <si>
    <t>Webmails</t>
  </si>
  <si>
    <t>Rainloop</t>
  </si>
  <si>
    <t>n/a</t>
  </si>
  <si>
    <t>Kinda</t>
  </si>
  <si>
    <t xml:space="preserve">Sí, si se usa en NC</t>
  </si>
  <si>
    <t xml:space="preserve">No soporta grupos de contactos</t>
  </si>
  <si>
    <t xml:space="preserve">Nextcloud Mail</t>
  </si>
  <si>
    <t xml:space="preserve">Sí, en NC 20</t>
  </si>
  <si>
    <t xml:space="preserve">Muy simple, pero la integración de contactos con NC y los hilos están bien implementados</t>
  </si>
  <si>
    <t>Roundcube</t>
  </si>
  <si>
    <t xml:space="preserve">Con el CardDAV plugin</t>
  </si>
  <si>
    <t xml:space="preserve">Funciona razonablemente bien, si se instala el plugin de Carddav</t>
  </si>
  <si>
    <t>Afterlogic</t>
  </si>
  <si>
    <t xml:space="preserve">Licencia de pago</t>
  </si>
  <si>
    <t xml:space="preserve">No soporta contactos de NC, y es de pago</t>
  </si>
  <si>
    <t>Mailpile?</t>
  </si>
  <si>
    <t xml:space="preserve">Sí, raros</t>
  </si>
  <si>
    <t>???</t>
  </si>
  <si>
    <t xml:space="preserve">Tiene etiquetas configurables hasta con iconos. Pero la interfaz es rarísima. Parece que el desarrollo está bastante parado.</t>
  </si>
  <si>
    <t>SOGo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</si>
</sst>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_-* #,##0.00_-;\-* #,##0.00_-;_-* \-??_-;_-@_-"/>
    <numFmt numFmtId="161" formatCode="_-* #,##0.00\ [$€-A]_-;\-* #,##0.00\ [$€-A]_-;_-* \-??\ [$€-A]_-;_-@_-"/>
  </numFmts>
  <fonts count="6">
    <font>
      <sz val="11.000000"/>
      <color theme="1"/>
      <name val="Calibri"/>
    </font>
    <font>
      <sz val="10.000000"/>
      <name val="Arial"/>
    </font>
    <font>
      <sz val="11.000000"/>
      <color rgb="FF006100"/>
      <name val="Calibri"/>
    </font>
    <font>
      <sz val="11.000000"/>
      <color rgb="FF9C0006"/>
      <name val="Calibri"/>
    </font>
    <font>
      <sz val="11.000000"/>
      <color rgb="FF9C6500"/>
      <name val="Calibri"/>
    </font>
    <font>
      <b/>
      <sz val="11.000000"/>
      <color indexed="65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6EFCE"/>
        <bgColor indexed="27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indexed="26"/>
      </patternFill>
    </fill>
    <fill>
      <patternFill patternType="solid">
        <fgColor rgb="FF262626"/>
        <bgColor indexed="59"/>
      </patternFill>
    </fill>
    <fill>
      <patternFill patternType="solid">
        <fgColor rgb="FF5B9BD5"/>
        <bgColor indexed="55"/>
      </patternFill>
    </fill>
  </fills>
  <borders count="1">
    <border>
      <left/>
      <right/>
      <top/>
      <bottom/>
      <diagonal/>
    </border>
  </borders>
  <cellStyleXfs count="9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0" fillId="0" borderId="0" numFmtId="160" applyNumberFormat="1" applyFont="1" applyFill="1" applyBorder="0" applyProtection="1">
      <protection hidden="0" locked="1"/>
    </xf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  <xf fontId="2" fillId="2" borderId="0" numFmtId="0" applyNumberFormat="1" applyFont="1" applyFill="1" applyBorder="0" applyProtection="1">
      <protection hidden="0" locked="1"/>
    </xf>
    <xf fontId="3" fillId="3" borderId="0" numFmtId="0" applyNumberFormat="1" applyFont="1" applyFill="1" applyBorder="0" applyProtection="1">
      <protection hidden="0" locked="1"/>
    </xf>
    <xf fontId="4" fillId="4" borderId="0" numFmtId="0" applyNumberFormat="1" applyFont="1" applyFill="1" applyBorder="0" applyProtection="1">
      <protection hidden="0" locked="1"/>
    </xf>
  </cellStyleXfs>
  <cellXfs count="11">
    <xf fontId="0" fillId="0" borderId="0" numFmtId="0" xfId="0" applyProtection="0">
      <protection hidden="0" locked="1"/>
    </xf>
    <xf fontId="0" fillId="0" borderId="0" numFmtId="0" xfId="0" applyAlignment="1" applyProtection="0">
      <alignment vertical="top"/>
      <protection hidden="0" locked="1"/>
    </xf>
    <xf fontId="5" fillId="5" borderId="0" numFmtId="0" xfId="0" applyFont="1" applyFill="1" applyAlignment="1" applyProtection="0">
      <alignment vertical="top"/>
      <protection hidden="0" locked="1"/>
    </xf>
    <xf fontId="5" fillId="6" borderId="0" numFmtId="0" xfId="0" applyFont="1" applyFill="1" applyAlignment="1" applyProtection="0">
      <alignment vertical="top"/>
      <protection hidden="0" locked="1"/>
    </xf>
    <xf fontId="2" fillId="2" borderId="0" numFmtId="0" xfId="6" applyFont="1" applyFill="1" applyAlignment="1" applyProtection="0">
      <alignment vertical="top"/>
      <protection hidden="0" locked="1"/>
    </xf>
    <xf fontId="3" fillId="3" borderId="0" numFmtId="0" xfId="7" applyFont="1" applyFill="1" applyAlignment="1" applyProtection="0">
      <alignment vertical="top"/>
      <protection hidden="0" locked="1"/>
    </xf>
    <xf fontId="4" fillId="4" borderId="0" numFmtId="0" xfId="8" applyFont="1" applyFill="1" applyAlignment="1" applyProtection="0">
      <alignment vertical="top"/>
      <protection hidden="0" locked="1"/>
    </xf>
    <xf fontId="2" fillId="2" borderId="0" numFmtId="161" xfId="3" applyNumberFormat="1" applyFont="1" applyFill="1" applyAlignment="1" applyProtection="0">
      <alignment vertical="top"/>
      <protection hidden="0" locked="1"/>
    </xf>
    <xf fontId="0" fillId="0" borderId="0" numFmtId="0" xfId="0" applyAlignment="1" applyProtection="0">
      <alignment vertical="top" wrapText="1"/>
      <protection hidden="0" locked="1"/>
    </xf>
    <xf fontId="0" fillId="0" borderId="0" numFmtId="0" xfId="0" applyAlignment="1" applyProtection="0">
      <alignment vertical="top" wrapText="1"/>
      <protection hidden="0" locked="1"/>
    </xf>
    <xf fontId="4" fillId="4" borderId="0" numFmtId="161" xfId="3" applyNumberFormat="1" applyFont="1" applyFill="1" applyAlignment="1" applyProtection="0">
      <alignment vertical="top"/>
      <protection hidden="0" locked="1"/>
    </xf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Excel Built-in Good" xfId="6"/>
    <cellStyle name="Excel Built-in Bad" xfId="7"/>
    <cellStyle name="Excel Built-in Neutral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 " id="{12AE67DF-FDEA-CA11-1DB3-24D7B65B8E09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personId="{12AE67DF-FDEA-CA11-1DB3-24D7B65B8E09}" id="{002B0012-001D-4BE7-BC7D-0071005D0092}" done="0">
    <text xml:space="preserve">Jorge Toledo:
https://www.fastmail.com/contributing-to-open-source-technology/
</text>
  </threadedComment>
</ThreadedComments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1.vml"/><Relationship  Id="rId2" Type="http://schemas.openxmlformats.org/officeDocument/2006/relationships/comments" Target="../comments1.xml"/><Relationship  Id="rId1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topLeftCell="D1" zoomScale="100" workbookViewId="0">
      <selection activeCell="D1" activeCellId="0" sqref="D1"/>
    </sheetView>
  </sheetViews>
  <sheetFormatPr defaultColWidth="8.984375" defaultRowHeight="14.25"/>
  <cols>
    <col customWidth="1" min="1" max="1" style="1" width="2.7999999999999998"/>
    <col customWidth="1" min="2" max="2" style="1" width="14.41"/>
    <col customWidth="1" min="3" max="3" style="1" width="15.949999999999999"/>
    <col customWidth="1" min="4" max="4" style="1" width="22.960000000000001"/>
    <col customWidth="1" min="5" max="5" style="1" width="24.629999999999999"/>
    <col customWidth="1" min="6" max="6" style="1" width="20.289999999999999"/>
    <col customWidth="1" min="7" max="7" style="1" width="26.309999999999999"/>
    <col customWidth="1" min="8" max="8" style="1" width="18.329999999999998"/>
    <col customWidth="1" min="9" max="9" style="1" width="13.43"/>
    <col customWidth="1" min="10" max="10" style="1" width="13.02"/>
    <col customWidth="1" min="11" max="11" style="1" width="112.81999999999999"/>
    <col customWidth="0" min="12" max="16384" style="1" width="8.9600000000000009"/>
  </cols>
  <sheetData>
    <row r="2" ht="14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</row>
    <row r="3" ht="33" customHeight="1">
      <c r="B3" s="3" t="s">
        <v>9</v>
      </c>
      <c r="C3" s="4" t="s">
        <v>10</v>
      </c>
      <c r="D3" s="5" t="s">
        <v>11</v>
      </c>
      <c r="E3" s="6" t="s">
        <v>12</v>
      </c>
      <c r="F3" s="5" t="s">
        <v>13</v>
      </c>
      <c r="G3" s="6" t="s">
        <v>14</v>
      </c>
      <c r="H3" s="4" t="s">
        <v>10</v>
      </c>
      <c r="I3" s="6" t="s">
        <v>15</v>
      </c>
      <c r="J3" s="7">
        <f>2.12/50</f>
        <v>0.0424</v>
      </c>
      <c r="K3" s="8" t="s">
        <v>16</v>
      </c>
    </row>
    <row r="4" ht="128.25">
      <c r="B4" s="3" t="s">
        <v>17</v>
      </c>
      <c r="C4" s="6" t="s">
        <v>18</v>
      </c>
      <c r="D4" s="4" t="s">
        <v>10</v>
      </c>
      <c r="E4" s="4" t="s">
        <v>19</v>
      </c>
      <c r="F4" s="4" t="s">
        <v>10</v>
      </c>
      <c r="G4" s="4" t="s">
        <v>20</v>
      </c>
      <c r="H4" s="4" t="s">
        <v>10</v>
      </c>
      <c r="I4" s="4" t="s">
        <v>10</v>
      </c>
      <c r="J4" s="7">
        <f>4.16/30</f>
        <v>0.13866666666666699</v>
      </c>
      <c r="K4" s="8" t="s">
        <v>21</v>
      </c>
    </row>
    <row r="5" ht="14.25">
      <c r="B5" s="3" t="s">
        <v>22</v>
      </c>
      <c r="C5" s="6" t="s">
        <v>18</v>
      </c>
      <c r="D5" s="5" t="s">
        <v>13</v>
      </c>
      <c r="E5" s="5" t="s">
        <v>23</v>
      </c>
      <c r="F5" s="5" t="s">
        <v>13</v>
      </c>
      <c r="G5" s="6" t="s">
        <v>24</v>
      </c>
      <c r="H5" s="4" t="s">
        <v>10</v>
      </c>
      <c r="I5" s="6" t="s">
        <v>15</v>
      </c>
      <c r="J5" s="7">
        <v>0.14000000000000001</v>
      </c>
    </row>
    <row r="6" ht="71.25">
      <c r="B6" s="3" t="s">
        <v>25</v>
      </c>
      <c r="C6" s="4" t="s">
        <v>10</v>
      </c>
      <c r="D6" s="4" t="s">
        <v>10</v>
      </c>
      <c r="E6" s="5" t="s">
        <v>26</v>
      </c>
      <c r="F6" s="4" t="s">
        <v>10</v>
      </c>
      <c r="G6" s="1"/>
      <c r="H6" s="4" t="s">
        <v>27</v>
      </c>
      <c r="I6" s="4" t="s">
        <v>10</v>
      </c>
      <c r="J6" s="7">
        <f>3/15</f>
        <v>0.20000000000000001</v>
      </c>
      <c r="K6" s="9" t="s">
        <v>28</v>
      </c>
    </row>
    <row r="7" ht="71.25">
      <c r="B7" s="3" t="s">
        <v>29</v>
      </c>
      <c r="C7" s="4" t="s">
        <v>30</v>
      </c>
      <c r="D7" s="4" t="s">
        <v>10</v>
      </c>
      <c r="E7" s="4" t="s">
        <v>19</v>
      </c>
      <c r="F7" s="4" t="s">
        <v>10</v>
      </c>
      <c r="G7" s="5" t="s">
        <v>13</v>
      </c>
      <c r="H7" s="4" t="s">
        <v>10</v>
      </c>
      <c r="I7" s="4" t="s">
        <v>10</v>
      </c>
      <c r="J7" s="10">
        <f>4/15</f>
        <v>0.266666666666667</v>
      </c>
      <c r="K7" s="8" t="s">
        <v>31</v>
      </c>
    </row>
    <row r="8" ht="28.5">
      <c r="B8" s="3" t="s">
        <v>32</v>
      </c>
      <c r="C8" s="4" t="s">
        <v>30</v>
      </c>
      <c r="D8" s="5" t="s">
        <v>13</v>
      </c>
      <c r="E8" s="5" t="s">
        <v>13</v>
      </c>
      <c r="F8" s="4" t="s">
        <v>10</v>
      </c>
      <c r="G8" s="6" t="s">
        <v>33</v>
      </c>
      <c r="H8" s="4" t="s">
        <v>10</v>
      </c>
      <c r="I8" s="4" t="s">
        <v>10</v>
      </c>
      <c r="J8" s="10">
        <v>0.35999999999999999</v>
      </c>
      <c r="K8" s="8" t="s">
        <v>34</v>
      </c>
    </row>
    <row r="9" ht="14.25">
      <c r="B9" s="3" t="s">
        <v>35</v>
      </c>
      <c r="C9" s="4" t="s">
        <v>30</v>
      </c>
      <c r="D9" s="5" t="s">
        <v>13</v>
      </c>
      <c r="E9" s="5" t="s">
        <v>13</v>
      </c>
      <c r="F9" s="5" t="s">
        <v>13</v>
      </c>
      <c r="G9" s="6" t="s">
        <v>33</v>
      </c>
      <c r="H9" s="5" t="s">
        <v>13</v>
      </c>
      <c r="I9" s="6" t="s">
        <v>15</v>
      </c>
      <c r="J9" s="10">
        <v>0.25</v>
      </c>
    </row>
    <row r="10" ht="14.25">
      <c r="B10" s="3" t="s">
        <v>36</v>
      </c>
      <c r="C10" s="5" t="s">
        <v>13</v>
      </c>
      <c r="D10" s="4" t="s">
        <v>10</v>
      </c>
      <c r="E10" s="6" t="s">
        <v>37</v>
      </c>
      <c r="F10" s="5" t="s">
        <v>13</v>
      </c>
      <c r="G10" s="6" t="s">
        <v>33</v>
      </c>
      <c r="H10" s="4" t="s">
        <v>10</v>
      </c>
      <c r="I10" s="6" t="s">
        <v>15</v>
      </c>
      <c r="J10" s="10">
        <f>2.5/5</f>
        <v>0.5</v>
      </c>
    </row>
    <row r="11" ht="28.5">
      <c r="B11" s="3" t="s">
        <v>38</v>
      </c>
      <c r="C11" s="5" t="s">
        <v>13</v>
      </c>
      <c r="D11" s="4" t="s">
        <v>10</v>
      </c>
      <c r="E11" s="6" t="s">
        <v>12</v>
      </c>
      <c r="F11" s="4" t="s">
        <v>10</v>
      </c>
      <c r="G11" s="6" t="s">
        <v>39</v>
      </c>
      <c r="H11" s="4" t="s">
        <v>10</v>
      </c>
      <c r="I11" s="4" t="s">
        <v>10</v>
      </c>
      <c r="J11" s="7">
        <f>1/5</f>
        <v>0.20000000000000001</v>
      </c>
      <c r="K11" s="8" t="s">
        <v>40</v>
      </c>
    </row>
    <row r="12" ht="28.5">
      <c r="B12" s="3" t="s">
        <v>41</v>
      </c>
      <c r="C12" s="4" t="s">
        <v>10</v>
      </c>
      <c r="D12" s="5" t="s">
        <v>13</v>
      </c>
      <c r="E12" s="5" t="s">
        <v>13</v>
      </c>
      <c r="F12" s="4" t="s">
        <v>10</v>
      </c>
      <c r="G12" s="6" t="s">
        <v>42</v>
      </c>
      <c r="H12" s="6" t="s">
        <v>43</v>
      </c>
      <c r="I12" s="4" t="s">
        <v>44</v>
      </c>
      <c r="J12" s="7"/>
      <c r="K12" s="9" t="s">
        <v>45</v>
      </c>
    </row>
    <row r="13" ht="14.25">
      <c r="B13" s="3" t="s">
        <v>46</v>
      </c>
      <c r="C13" s="1"/>
      <c r="D13" s="1"/>
      <c r="E13" s="1"/>
      <c r="F13" s="1"/>
      <c r="G13" s="1"/>
      <c r="H13" s="1"/>
      <c r="I13" s="1"/>
      <c r="J13" s="1"/>
      <c r="K13" s="8" t="s">
        <v>47</v>
      </c>
    </row>
    <row r="15" ht="14.25">
      <c r="B15" s="2" t="s">
        <v>48</v>
      </c>
      <c r="C15" s="3" t="s">
        <v>1</v>
      </c>
      <c r="D15" s="3" t="s">
        <v>2</v>
      </c>
      <c r="E15" s="3" t="s">
        <v>3</v>
      </c>
      <c r="F15" s="3" t="s">
        <v>4</v>
      </c>
      <c r="G15" s="3" t="s">
        <v>5</v>
      </c>
    </row>
    <row r="16" ht="14.25">
      <c r="B16" s="1" t="s">
        <v>49</v>
      </c>
      <c r="C16" s="4" t="s">
        <v>10</v>
      </c>
      <c r="D16" s="5" t="s">
        <v>13</v>
      </c>
      <c r="E16" s="1" t="s">
        <v>50</v>
      </c>
      <c r="F16" s="6" t="s">
        <v>51</v>
      </c>
      <c r="G16" s="4" t="s">
        <v>52</v>
      </c>
      <c r="K16" s="1" t="s">
        <v>53</v>
      </c>
    </row>
    <row r="17" ht="14.25">
      <c r="B17" s="1" t="s">
        <v>54</v>
      </c>
      <c r="C17" s="4" t="s">
        <v>10</v>
      </c>
      <c r="D17" s="5" t="s">
        <v>13</v>
      </c>
      <c r="E17" s="1" t="s">
        <v>50</v>
      </c>
      <c r="F17" s="4" t="s">
        <v>55</v>
      </c>
      <c r="G17" s="4" t="s">
        <v>52</v>
      </c>
      <c r="K17" s="1" t="s">
        <v>56</v>
      </c>
    </row>
    <row r="18" ht="14.25">
      <c r="B18" s="1" t="s">
        <v>57</v>
      </c>
      <c r="C18" s="4" t="s">
        <v>10</v>
      </c>
      <c r="D18" s="5" t="s">
        <v>13</v>
      </c>
      <c r="E18" s="1" t="s">
        <v>50</v>
      </c>
      <c r="F18" s="6" t="s">
        <v>51</v>
      </c>
      <c r="G18" s="4" t="s">
        <v>58</v>
      </c>
      <c r="K18" s="1" t="s">
        <v>59</v>
      </c>
    </row>
    <row r="19" ht="14.25">
      <c r="B19" s="1" t="s">
        <v>60</v>
      </c>
      <c r="C19" s="6" t="s">
        <v>61</v>
      </c>
      <c r="D19" s="5" t="s">
        <v>13</v>
      </c>
      <c r="E19" s="1" t="s">
        <v>50</v>
      </c>
      <c r="F19" s="6" t="s">
        <v>51</v>
      </c>
      <c r="G19" s="5" t="s">
        <v>13</v>
      </c>
      <c r="K19" s="1" t="s">
        <v>62</v>
      </c>
    </row>
    <row r="20" ht="14.25">
      <c r="B20" s="1" t="s">
        <v>63</v>
      </c>
      <c r="C20" s="4" t="s">
        <v>10</v>
      </c>
      <c r="D20" s="4" t="s">
        <v>10</v>
      </c>
      <c r="E20" s="1" t="s">
        <v>50</v>
      </c>
      <c r="F20" s="4" t="s">
        <v>64</v>
      </c>
      <c r="G20" s="1" t="s">
        <v>65</v>
      </c>
      <c r="K20" s="1" t="s">
        <v>66</v>
      </c>
    </row>
    <row r="21" ht="14.25">
      <c r="B21" s="1" t="s">
        <v>67</v>
      </c>
      <c r="C21" s="4" t="s">
        <v>10</v>
      </c>
      <c r="D21" s="5" t="s">
        <v>11</v>
      </c>
      <c r="E21" s="6" t="s">
        <v>12</v>
      </c>
      <c r="F21" s="5" t="s">
        <v>13</v>
      </c>
      <c r="G21" s="5" t="s">
        <v>13</v>
      </c>
    </row>
  </sheetData>
  <printOptions headings="0" gridLines="0"/>
  <pageMargins left="0.70069444444444395" right="0.70069444444444395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onlyoffice/7.3.3.49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es-ES</dc:language>
  <cp:lastModifiedBy>Jorge Toledo</cp:lastModifiedBy>
  <cp:revision>27</cp:revision>
  <dcterms:modified xsi:type="dcterms:W3CDTF">2023-11-27T16:49:35Z</dcterms:modified>
</cp:coreProperties>
</file>